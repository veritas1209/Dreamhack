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35e627ea6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6ab86a2c056d4524"/>
    <x:sheet xmlns:r="http://schemas.openxmlformats.org/officeDocument/2006/relationships" name="EXEC" sheetId="2" r:id="Ra23423b485b2430e"/>
    <x:sheet xmlns:r="http://schemas.openxmlformats.org/officeDocument/2006/relationships" name="TRANS" sheetId="3" r:id="R3eff98fe22e24621"/>
    <x:sheet xmlns:r="http://schemas.openxmlformats.org/officeDocument/2006/relationships" name="CONST" sheetId="4" r:id="Rb4a02ebbb5ac4839"/>
    <x:sheet xmlns:r="http://schemas.openxmlformats.org/officeDocument/2006/relationships" name="FLAGDATA" sheetId="5" r:id="R37c0000974154f13"/>
  </x:sheets>
</x:workbook>
</file>

<file path=xl/sharedStrings.xml><?xml version="1.0" encoding="utf-8"?>
<x:sst xmlns:x="http://schemas.openxmlformats.org/spreadsheetml/2006/main">
  <x:si>
    <x:t xml:space="preserve"/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</x:si>
</x:sst>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family val="2"/>
      <x:scheme val="minor"/>
    </x:font>
    <x:font>
      <x:b/>
      <x:sz val="16"/>
    </x:font>
    <x:font>
      <x:b/>
      <x:sz val="11"/>
    </x:font>
    <x:font>
      <x:sz val="11"/>
    </x:font>
    <x:font>
      <x:sz val="11"/>
      <x:color rgb="00555555"/>
    </x:font>
    <x:font>
      <x:b/>
      <x:sz val="12"/>
      <x:color rgb="000000FF"/>
    </x:font>
    <x:font>
      <x:sz val="11"/>
      <x:name val="Consolas"/>
    </x:font>
    <x:font>
      <x:b/>
      <x:sz val="12"/>
    </x:font>
    <x:font>
      <x:sz val="11"/>
      <x:color rgb="00000000"/>
      <x:name val="Calibri"/>
    </x:font>
    <x:font>
      <x:sz val="12"/>
      <x:color rgb="000000FF"/>
    </x:font>
  </x:fonts>
  <x:fills count="5">
    <x:fill>
      <x:patternFill patternType="none"/>
    </x:fill>
    <x:fill>
      <x:patternFill patternType="gray125"/>
    </x:fill>
    <x:fill>
      <x:patternFill patternType="solid">
        <x:fgColor rgb="00FFF2CC"/>
      </x:patternFill>
    </x:fill>
    <x:fill>
      <x:patternFill patternType="solid">
        <x:fgColor rgb="00E2F0D9"/>
      </x:patternFill>
    </x:fill>
    <x:fill>
      <x:patternFill patternType="solid">
        <x:fgColor rgb="00FFFFFF"/>
      </x:patternFill>
    </x:fill>
  </x:fills>
  <x:borders count="4">
    <x:border>
      <x:left/>
      <x:right/>
      <x:top/>
      <x:bottom/>
      <x:diagonal/>
    </x:border>
    <x:border>
      <x:left style="thin">
        <x:color rgb="00CCCCCC"/>
      </x:left>
      <x:right style="thin">
        <x:color rgb="00CCCCCC"/>
      </x:right>
      <x:top style="thin">
        <x:color rgb="00CCCCCC"/>
      </x:top>
      <x:bottom style="thin">
        <x:color rgb="00CCCCCC"/>
      </x:bottom>
    </x:border>
    <x:border/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0" borderId="0" xfId="0"/>
    <x:xf numFmtId="0" fontId="5" fillId="2" borderId="1" xfId="0"/>
    <x:xf numFmtId="0" fontId="6" fillId="0" borderId="0" xfId="0"/>
    <x:xf numFmtId="0" fontId="7" fillId="0" borderId="0" xfId="0"/>
    <x:xf numFmtId="0" fontId="6" fillId="3" borderId="1" xfId="0"/>
    <x:xf numFmtId="0" fontId="8" fillId="4" borderId="2" xfId="0" applyAlignment="1">
      <x:alignment horizontal="general" vertical="bottom"/>
    </x:xf>
    <x:xf numFmtId="0" fontId="7" fillId="4" borderId="2" xfId="0" applyAlignment="1">
      <x:alignment horizontal="left" vertical="center"/>
    </x:xf>
    <x:xf numFmtId="0" fontId="9" fillId="2" borderId="3" xfId="0" applyAlignment="1">
      <x:alignment horizontal="left" vertical="center"/>
    </x:xf>
    <x:xf numFmtId="0" fontId="7" fillId="3" borderId="3" xfId="0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497e5e9504686" /><Relationship Type="http://schemas.openxmlformats.org/officeDocument/2006/relationships/theme" Target="/xl/theme/theme1.xml" Id="Rf0449d11d28a48f2" /><Relationship Type="http://schemas.openxmlformats.org/officeDocument/2006/relationships/sharedStrings" Target="/xl/sharedStrings.xml" Id="R7366c135bb1242e1" /><Relationship Type="http://schemas.openxmlformats.org/officeDocument/2006/relationships/worksheet" Target="/xl/worksheets/sheet1.xml" Id="R6ab86a2c056d4524" /><Relationship Type="http://schemas.openxmlformats.org/officeDocument/2006/relationships/worksheet" Target="/xl/worksheets/sheet2.xml" Id="Ra23423b485b2430e" /><Relationship Type="http://schemas.openxmlformats.org/officeDocument/2006/relationships/worksheet" Target="/xl/worksheets/sheet3.xml" Id="R3eff98fe22e24621" /><Relationship Type="http://schemas.openxmlformats.org/officeDocument/2006/relationships/worksheet" Target="/xl/worksheets/sheet4.xml" Id="Rb4a02ebbb5ac4839" /><Relationship Type="http://schemas.openxmlformats.org/officeDocument/2006/relationships/worksheet" Target="/xl/worksheets/sheet5.xml" Id="R37c0000974154f1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70" customWidth="1"/>
    <x:col min="3" max="3" width="2" customWidth="1"/>
    <x:col min="4" max="4" width="2" customWidth="1"/>
    <x:col min="5" max="5" width="2" customWidth="1"/>
    <x:col min="6" max="6" width="2" customWidth="1"/>
  </x:cols>
  <x:sheetData>
    <x:row r="1">
      <x:c r="A1" s="9" t="n"/>
      <x:c r="B1" s="9" t="n"/>
      <x:c r="C1" s="9" t="n"/>
      <x:c r="D1" s="9" t="n"/>
      <x:c r="E1" s="9" t="n"/>
      <x:c r="F1" s="9" t="n"/>
    </x:row>
    <x:row r="2" ht="24" customHeight="1">
      <x:c r="A2" s="10" t="inlineStr">
        <x:is>
          <x:t xml:space="preserve">INPUT</x:t>
        </x:is>
      </x:c>
      <x:c r="B2" s="11" t="s">
        <x:v>0</x:v>
      </x:c>
      <x:c r="C2" s="9" t="n"/>
      <x:c r="D2" s="9" t="n"/>
      <x:c r="E2" s="9" t="n"/>
      <x:c r="F2" s="9" t="n"/>
    </x:row>
    <x:row r="3">
      <x:c r="A3" s="9" t="n"/>
      <x:c r="B3" s="9" t="n"/>
      <x:c r="C3" s="9" t="n"/>
      <x:c r="D3" s="9" t="n"/>
      <x:c r="E3" s="9" t="n"/>
      <x:c r="F3" s="9" t="n"/>
    </x:row>
    <x:row r="4" ht="24" customHeight="1">
      <x:c r="A4" s="10" t="inlineStr">
        <x:is>
          <x:t xml:space="preserve">RESULT</x:t>
        </x:is>
      </x:c>
      <x:c r="B4" s="12" t="str">
        <x:f>IF(EXEC!$B$1=1,"Correct","Incorrect")</x:f>
        <x:v>Incorrect</x:v>
      </x:c>
      <x:c r="C4" s="9" t="n"/>
      <x:c r="D4" s="9" t="n"/>
      <x:c r="E4" s="9" t="n"/>
      <x:c r="F4" s="9" t="n"/>
    </x:row>
    <x:row r="5">
      <x:c r="A5" s="9" t="n"/>
      <x:c r="B5" s="9" t="n"/>
      <x:c r="C5" s="9" t="n"/>
      <x:c r="D5" s="9" t="n"/>
      <x:c r="E5" s="9" t="n"/>
      <x:c r="F5" s="9" t="n"/>
    </x:row>
    <x:row r="6">
      <x:c r="A6" s="9" t="n"/>
      <x:c r="B6" s="9" t="n"/>
      <x:c r="C6" s="9" t="n"/>
      <x:c r="D6" s="9" t="n"/>
      <x:c r="E6" s="9" t="n"/>
      <x:c r="F6" s="9" t="n"/>
    </x:row>
    <x:row r="7">
      <x:c r="A7" s="9" t="n"/>
      <x:c r="B7" s="9" t="n"/>
      <x:c r="C7" s="9" t="n"/>
      <x:c r="D7" s="9" t="n"/>
      <x:c r="E7" s="9" t="n"/>
      <x:c r="F7" s="9" t="n"/>
    </x:row>
    <x:row r="8">
      <x:c r="A8" s="9" t="n"/>
      <x:c r="B8" s="9" t="n"/>
      <x:c r="C8" s="9" t="n"/>
      <x:c r="D8" s="9" t="n"/>
      <x:c r="E8" s="9" t="n"/>
      <x:c r="F8" s="9" t="n"/>
    </x:row>
    <x:row r="9">
      <x:c r="A9" s="9" t="n"/>
      <x:c r="B9" s="9" t="n"/>
      <x:c r="C9" s="9" t="n"/>
      <x:c r="D9" s="9" t="n"/>
      <x:c r="E9" s="9" t="n"/>
      <x:c r="F9" s="9" t="n"/>
    </x:row>
    <x:row r="10">
      <x:c r="A10" s="9" t="n"/>
      <x:c r="B10" s="9" t="n"/>
      <x:c r="C10" s="9" t="n"/>
      <x:c r="D10" s="9" t="n"/>
      <x:c r="E10" s="9" t="n"/>
      <x:c r="F10" s="9" t="n"/>
    </x:row>
    <x:row r="11">
      <x:c r="A11" s="9" t="n"/>
      <x:c r="B11" s="9" t="n"/>
      <x:c r="C11" s="9" t="n"/>
      <x:c r="D11" s="9" t="n"/>
      <x:c r="E11" s="9" t="n"/>
      <x:c r="F11" s="9" t="n"/>
    </x:row>
    <x:row r="12">
      <x:c r="A12" s="9" t="n"/>
      <x:c r="B12" s="9" t="n"/>
      <x:c r="C12" s="9" t="n"/>
      <x:c r="D12" s="9" t="n"/>
      <x:c r="E12" s="9" t="n"/>
      <x:c r="F12" s="9" t="n"/>
    </x:row>
    <x:row r="13">
      <x:c r="A13" s="9" t="n"/>
      <x:c r="B13" s="9" t="n"/>
      <x:c r="C13" s="9" t="n"/>
      <x:c r="D13" s="9" t="n"/>
      <x:c r="E13" s="9" t="n"/>
      <x:c r="F13" s="9" t="n"/>
    </x:row>
    <x:row r="14">
      <x:c r="A14" s="9" t="n"/>
      <x:c r="B14" s="9" t="n"/>
      <x:c r="C14" s="9" t="n"/>
      <x:c r="D14" s="9" t="n"/>
      <x:c r="E14" s="9" t="n"/>
      <x:c r="F14" s="9" t="n"/>
    </x:row>
    <x:row r="15">
      <x:c r="A15" s="9" t="n"/>
      <x:c r="B15" s="9" t="n"/>
      <x:c r="C15" s="9" t="n"/>
      <x:c r="D15" s="9" t="n"/>
      <x:c r="E15" s="9" t="n"/>
      <x:c r="F15" s="9" t="n"/>
    </x:row>
    <x:row r="16">
      <x:c r="A16" s="9" t="n"/>
      <x:c r="B16" s="9" t="n"/>
      <x:c r="C16" s="9" t="n"/>
      <x:c r="D16" s="9" t="n"/>
      <x:c r="E16" s="9" t="n"/>
      <x:c r="F16" s="9" t="n"/>
    </x:row>
    <x:row r="17">
      <x:c r="A17" s="9" t="n"/>
      <x:c r="B17" s="9" t="n"/>
      <x:c r="C17" s="9" t="n"/>
      <x:c r="D17" s="9" t="n"/>
      <x:c r="E17" s="9" t="n"/>
      <x:c r="F17" s="9" t="n"/>
    </x:row>
    <x:row r="18">
      <x:c r="A18" s="9" t="n"/>
      <x:c r="B18" s="9" t="n"/>
      <x:c r="C18" s="9" t="n"/>
      <x:c r="D18" s="9" t="n"/>
      <x:c r="E18" s="9" t="n"/>
      <x:c r="F18" s="9" t="n"/>
    </x:row>
    <x:row r="19">
      <x:c r="A19" s="9" t="n"/>
      <x:c r="B19" s="9" t="n"/>
      <x:c r="C19" s="9" t="n"/>
      <x:c r="D19" s="9" t="n"/>
      <x:c r="E19" s="9" t="n"/>
      <x:c r="F19" s="9" t="n"/>
    </x:row>
    <x:row r="20">
      <x:c r="A20" s="9" t="n"/>
      <x:c r="B20" s="9" t="n"/>
      <x:c r="C20" s="9" t="n"/>
      <x:c r="D20" s="9" t="n"/>
      <x:c r="E20" s="9" t="n"/>
      <x:c r="F20" s="9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inlineStr">
        <x:is>
          <x:t xml:space="preserve">OK</x:t>
        </x:is>
      </x:c>
      <x:c r="B1">
        <x:f>IF($B$2=0,1,0)</x:f>
        <x:v>0</x:v>
      </x:c>
      <x:c r="J1" t="inlineStr">
        <x:is>
          <x:t xml:space="preserve">state9</x:t>
        </x:is>
      </x:c>
      <x:c r="K1" t="inlineStr">
        <x:is>
          <x:t xml:space="preserve">state10</x:t>
        </x:is>
      </x:c>
      <x:c r="L1" t="inlineStr">
        <x:is>
          <x:t xml:space="preserve">state11</x:t>
        </x:is>
      </x:c>
      <x:c r="M1" t="inlineStr">
        <x:is>
          <x:t xml:space="preserve">state12</x:t>
        </x:is>
      </x:c>
      <x:c r="N1" t="inlineStr">
        <x:is>
          <x:t xml:space="preserve">ok</x:t>
        </x:is>
      </x:c>
      <x:c r="O1" t="inlineStr">
        <x:is>
          <x:t xml:space="preserve">checksum</x:t>
        </x:is>
      </x:c>
      <x:c r="P1" t="inlineStr">
        <x:is>
          <x:t xml:space="preserve">flag</x:t>
        </x:is>
      </x:c>
    </x:row>
    <x:row r="2">
      <x:c r="A2" t="inlineStr">
        <x:is>
          <x:t xml:space="preserve">MISMATCH</x:t>
        </x:is>
      </x:c>
      <x:c r="B2">
        <x:f>IF(LEN(INPUT!$B$2)&lt;&gt;CONST!$B$1,1,SUM(C3:C62))</x:f>
        <x:v>1</x:v>
      </x:c>
      <x:c r="J2">
        <x:f>IF(LEN(INPUT!$B$9)&lt;9,-1,IFERROR(INDEX(TRANS!$B$2:$AK$65,I2+1,MOD(MATCH(MID(INPUT!$B$9,9,1),TRANS!$B$1:$AK$1,0)+INDEX(CONST!$B$2:$M$2,1,9)-2,36)+1),-1))</x:f>
        <x:v>-1</x:v>
      </x:c>
      <x:c r="K2">
        <x:f>IF(LEN(INPUT!$B$9)&lt;10,-1,IFERROR(INDEX(TRANS!$B$2:$AK$65,J2+1,MOD(MATCH(MID(INPUT!$B$9,10,1),TRANS!$B$1:$AK$1,0)+INDEX(CONST!$B$2:$M$2,1,10)-2,36)+1),-1))</x:f>
        <x:v>-1</x:v>
      </x:c>
      <x:c r="L2">
        <x:f>IF(LEN(INPUT!$B$9)&lt;11,-1,IFERROR(INDEX(TRANS!$B$2:$AK$65,K2+1,MOD(MATCH(MID(INPUT!$B$9,11,1),TRANS!$B$1:$AK$1,0)+INDEX(CONST!$B$2:$M$2,1,11)-2,36)+1),-1))</x:f>
        <x:v>-1</x:v>
      </x:c>
      <x:c r="M2">
        <x:f>IF(LEN(INPUT!$B$9)&lt;12,-1,IFERROR(INDEX(TRANS!$B$2:$AK$65,L2+1,MOD(MATCH(MID(INPUT!$B$9,12,1),TRANS!$B$1:$AK$1,0)+INDEX(CONST!$B$2:$M$2,1,12)-2,36)+1),-1))</x:f>
        <x:v>-1</x:v>
      </x:c>
      <x:c r="N2" t="b">
        <x:f>AND(LEN(INPUT!$B$9)=CONST!$B$1,M2=CONST!$B$3,O2=CONST!$B$7)</x:f>
        <x:v>0</x:v>
      </x:c>
      <x:c r="O2">
        <x:f>MOD(SUMPRODUCT(B2:M2,CONST!$B$5:$M$5)+CONST!$B$6,CONST!$B$4)</x:f>
        <x:v>7</x:v>
      </x:c>
      <x:c r="P2" t="str">
        <x:f>IF(N2,FLAGDATA!$A$2,"INVALID")</x:f>
        <x:v>INVALID</x:v>
      </x:c>
    </x:row>
    <x:row r="3">
      <x:c r="A3" t="inlineStr">
        <x:is>
          <x:t xml:space="preserve">i</x:t>
        </x:is>
      </x:c>
      <x:c r="B3" t="inlineStr">
        <x:is>
          <x:t xml:space="preserve">salt</x:t>
        </x:is>
      </x:c>
      <x:c r="C3" t="inlineStr">
        <x:is>
          <x:t xml:space="preserve">bad</x:t>
        </x:is>
      </x:c>
    </x:row>
    <x:row r="4">
      <x:c r="A4" t="n">
        <x:v>1</x:v>
      </x:c>
      <x:c r="B4">
        <x:f>MOD($A4*CONST!$C$2+CONST!$B$2,CONST!$D$2)</x:f>
        <x:v>38</x:v>
      </x:c>
      <x:c r="C4">
        <x:f>IF(MOD(IFERROR(CODE(MID(INPUT!$B$2,$A4,1)),0)+$B4,CONST!$E$2)=INDEX(CONST!$B$5:$BI$5,1,$A4),0,1)</x:f>
        <x:v>1</x:v>
      </x:c>
    </x:row>
    <x:row r="5">
      <x:c r="A5" t="n">
        <x:v>2</x:v>
      </x:c>
      <x:c r="B5">
        <x:f>MOD($A5*CONST!$C$2+CONST!$B$2,CONST!$D$2)</x:f>
        <x:v>69</x:v>
      </x:c>
      <x:c r="C5">
        <x:f>IF(MOD(IFERROR(CODE(MID(INPUT!$B$2,$A5,1)),0)+$B5,CONST!$E$2)=INDEX(CONST!$B$5:$BI$5,1,$A5),0,1)</x:f>
        <x:v>1</x:v>
      </x:c>
    </x:row>
    <x:row r="6">
      <x:c r="A6" t="n">
        <x:v>3</x:v>
      </x:c>
      <x:c r="B6">
        <x:f>MOD($A6*CONST!$C$2+CONST!$B$2,CONST!$D$2)</x:f>
        <x:v>100</x:v>
      </x:c>
      <x:c r="C6">
        <x:f>IF(MOD(IFERROR(CODE(MID(INPUT!$B$2,$A6,1)),0)+$B6,CONST!$E$2)=INDEX(CONST!$B$5:$BI$5,1,$A6),0,1)</x:f>
        <x:v>1</x:v>
      </x:c>
    </x:row>
    <x:row r="7">
      <x:c r="A7" t="n">
        <x:v>4</x:v>
      </x:c>
      <x:c r="B7">
        <x:f>MOD($A7*CONST!$C$2+CONST!$B$2,CONST!$D$2)</x:f>
        <x:v>131</x:v>
      </x:c>
      <x:c r="C7">
        <x:f>IF(MOD(IFERROR(CODE(MID(INPUT!$B$2,$A7,1)),0)+$B7,CONST!$E$2)=INDEX(CONST!$B$5:$BI$5,1,$A7),0,1)</x:f>
        <x:v>1</x:v>
      </x:c>
    </x:row>
    <x:row r="8">
      <x:c r="A8" t="n">
        <x:v>5</x:v>
      </x:c>
      <x:c r="B8">
        <x:f>MOD($A8*CONST!$C$2+CONST!$B$2,CONST!$D$2)</x:f>
        <x:v>162</x:v>
      </x:c>
      <x:c r="C8">
        <x:f>IF(MOD(IFERROR(CODE(MID(INPUT!$B$2,$A8,1)),0)+$B8,CONST!$E$2)=INDEX(CONST!$B$5:$BI$5,1,$A8),0,1)</x:f>
        <x:v>1</x:v>
      </x:c>
    </x:row>
    <x:row r="9">
      <x:c r="A9" t="n">
        <x:v>6</x:v>
      </x:c>
      <x:c r="B9">
        <x:f>MOD($A9*CONST!$C$2+CONST!$B$2,CONST!$D$2)</x:f>
        <x:v>193</x:v>
      </x:c>
      <x:c r="C9">
        <x:f>IF(MOD(IFERROR(CODE(MID(INPUT!$B$2,$A9,1)),0)+$B9,CONST!$E$2)=INDEX(CONST!$B$5:$BI$5,1,$A9),0,1)</x:f>
        <x:v>1</x:v>
      </x:c>
    </x:row>
    <x:row r="10">
      <x:c r="A10" t="n">
        <x:v>7</x:v>
      </x:c>
      <x:c r="B10">
        <x:f>MOD($A10*CONST!$C$2+CONST!$B$2,CONST!$D$2)</x:f>
        <x:v>224</x:v>
      </x:c>
      <x:c r="C10">
        <x:f>IF(MOD(IFERROR(CODE(MID(INPUT!$B$2,$A10,1)),0)+$B10,CONST!$E$2)=INDEX(CONST!$B$5:$BI$5,1,$A10),0,1)</x:f>
        <x:v>1</x:v>
      </x:c>
    </x:row>
    <x:row r="11">
      <x:c r="A11" t="n">
        <x:v>8</x:v>
      </x:c>
      <x:c r="B11">
        <x:f>MOD($A11*CONST!$C$2+CONST!$B$2,CONST!$D$2)</x:f>
        <x:v>4</x:v>
      </x:c>
      <x:c r="C11">
        <x:f>IF(MOD(IFERROR(CODE(MID(INPUT!$B$2,$A11,1)),0)+$B11,CONST!$E$2)=INDEX(CONST!$B$5:$BI$5,1,$A11),0,1)</x:f>
        <x:v>1</x:v>
      </x:c>
    </x:row>
    <x:row r="12">
      <x:c r="A12" t="n">
        <x:v>9</x:v>
      </x:c>
      <x:c r="B12">
        <x:f>MOD($A12*CONST!$C$2+CONST!$B$2,CONST!$D$2)</x:f>
        <x:v>35</x:v>
      </x:c>
      <x:c r="C12">
        <x:f>IF(MOD(IFERROR(CODE(MID(INPUT!$B$2,$A12,1)),0)+$B12,CONST!$E$2)=INDEX(CONST!$B$5:$BI$5,1,$A12),0,1)</x:f>
        <x:v>1</x:v>
      </x:c>
    </x:row>
    <x:row r="13">
      <x:c r="A13" t="n">
        <x:v>10</x:v>
      </x:c>
      <x:c r="B13">
        <x:f>MOD($A13*CONST!$C$2+CONST!$B$2,CONST!$D$2)</x:f>
        <x:v>66</x:v>
      </x:c>
      <x:c r="C13">
        <x:f>IF(MOD(IFERROR(CODE(MID(INPUT!$B$2,$A13,1)),0)+$B13,CONST!$E$2)=INDEX(CONST!$B$5:$BI$5,1,$A13),0,1)</x:f>
        <x:v>1</x:v>
      </x:c>
    </x:row>
    <x:row r="14">
      <x:c r="A14" t="n">
        <x:v>11</x:v>
      </x:c>
      <x:c r="B14">
        <x:f>MOD($A14*CONST!$C$2+CONST!$B$2,CONST!$D$2)</x:f>
        <x:v>97</x:v>
      </x:c>
      <x:c r="C14">
        <x:f>IF(MOD(IFERROR(CODE(MID(INPUT!$B$2,$A14,1)),0)+$B14,CONST!$E$2)=INDEX(CONST!$B$5:$BI$5,1,$A14),0,1)</x:f>
        <x:v>1</x:v>
      </x:c>
    </x:row>
    <x:row r="15">
      <x:c r="A15" t="n">
        <x:v>12</x:v>
      </x:c>
      <x:c r="B15">
        <x:f>MOD($A15*CONST!$C$2+CONST!$B$2,CONST!$D$2)</x:f>
        <x:v>128</x:v>
      </x:c>
      <x:c r="C15">
        <x:f>IF(MOD(IFERROR(CODE(MID(INPUT!$B$2,$A15,1)),0)+$B15,CONST!$E$2)=INDEX(CONST!$B$5:$BI$5,1,$A15),0,1)</x:f>
        <x:v>1</x:v>
      </x:c>
    </x:row>
    <x:row r="16">
      <x:c r="A16" t="n">
        <x:v>13</x:v>
      </x:c>
      <x:c r="B16">
        <x:f>MOD($A16*CONST!$C$2+CONST!$B$2,CONST!$D$2)</x:f>
        <x:v>159</x:v>
      </x:c>
      <x:c r="C16">
        <x:f>IF(MOD(IFERROR(CODE(MID(INPUT!$B$2,$A16,1)),0)+$B16,CONST!$E$2)=INDEX(CONST!$B$5:$BI$5,1,$A16),0,1)</x:f>
        <x:v>1</x:v>
      </x:c>
    </x:row>
    <x:row r="17">
      <x:c r="A17" t="n">
        <x:v>14</x:v>
      </x:c>
      <x:c r="B17">
        <x:f>MOD($A17*CONST!$C$2+CONST!$B$2,CONST!$D$2)</x:f>
        <x:v>190</x:v>
      </x:c>
      <x:c r="C17">
        <x:f>IF(MOD(IFERROR(CODE(MID(INPUT!$B$2,$A17,1)),0)+$B17,CONST!$E$2)=INDEX(CONST!$B$5:$BI$5,1,$A17),0,1)</x:f>
        <x:v>1</x:v>
      </x:c>
    </x:row>
    <x:row r="18">
      <x:c r="A18" t="n">
        <x:v>15</x:v>
      </x:c>
      <x:c r="B18">
        <x:f>MOD($A18*CONST!$C$2+CONST!$B$2,CONST!$D$2)</x:f>
        <x:v>221</x:v>
      </x:c>
      <x:c r="C18">
        <x:f>IF(MOD(IFERROR(CODE(MID(INPUT!$B$2,$A18,1)),0)+$B18,CONST!$E$2)=INDEX(CONST!$B$5:$BI$5,1,$A18),0,1)</x:f>
        <x:v>1</x:v>
      </x:c>
    </x:row>
    <x:row r="19">
      <x:c r="A19" t="n">
        <x:v>16</x:v>
      </x:c>
      <x:c r="B19">
        <x:f>MOD($A19*CONST!$C$2+CONST!$B$2,CONST!$D$2)</x:f>
        <x:v>1</x:v>
      </x:c>
      <x:c r="C19">
        <x:f>IF(MOD(IFERROR(CODE(MID(INPUT!$B$2,$A19,1)),0)+$B19,CONST!$E$2)=INDEX(CONST!$B$5:$BI$5,1,$A19),0,1)</x:f>
        <x:v>1</x:v>
      </x:c>
    </x:row>
    <x:row r="20">
      <x:c r="A20" t="n">
        <x:v>17</x:v>
      </x:c>
      <x:c r="B20">
        <x:f>MOD($A20*CONST!$C$2+CONST!$B$2,CONST!$D$2)</x:f>
        <x:v>32</x:v>
      </x:c>
      <x:c r="C20">
        <x:f>IF(MOD(IFERROR(CODE(MID(INPUT!$B$2,$A20,1)),0)+$B20,CONST!$E$2)=INDEX(CONST!$B$5:$BI$5,1,$A20),0,1)</x:f>
        <x:v>1</x:v>
      </x:c>
    </x:row>
    <x:row r="21">
      <x:c r="A21" t="n">
        <x:v>18</x:v>
      </x:c>
      <x:c r="B21">
        <x:f>MOD($A21*CONST!$C$2+CONST!$B$2,CONST!$D$2)</x:f>
        <x:v>63</x:v>
      </x:c>
      <x:c r="C21">
        <x:f>IF(MOD(IFERROR(CODE(MID(INPUT!$B$2,$A21,1)),0)+$B21,CONST!$E$2)=INDEX(CONST!$B$5:$BI$5,1,$A21),0,1)</x:f>
        <x:v>1</x:v>
      </x:c>
    </x:row>
    <x:row r="22">
      <x:c r="A22" t="n">
        <x:v>19</x:v>
      </x:c>
      <x:c r="B22">
        <x:f>MOD($A22*CONST!$C$2+CONST!$B$2,CONST!$D$2)</x:f>
        <x:v>94</x:v>
      </x:c>
      <x:c r="C22">
        <x:f>IF(MOD(IFERROR(CODE(MID(INPUT!$B$2,$A22,1)),0)+$B22,CONST!$E$2)=INDEX(CONST!$B$5:$BI$5,1,$A22),0,1)</x:f>
        <x:v>1</x:v>
      </x:c>
    </x:row>
    <x:row r="23">
      <x:c r="A23" t="n">
        <x:v>20</x:v>
      </x:c>
      <x:c r="B23">
        <x:f>MOD($A23*CONST!$C$2+CONST!$B$2,CONST!$D$2)</x:f>
        <x:v>125</x:v>
      </x:c>
      <x:c r="C23">
        <x:f>IF(MOD(IFERROR(CODE(MID(INPUT!$B$2,$A23,1)),0)+$B23,CONST!$E$2)=INDEX(CONST!$B$5:$BI$5,1,$A23),0,1)</x:f>
        <x:v>1</x:v>
      </x:c>
    </x:row>
    <x:row r="24">
      <x:c r="A24" t="n">
        <x:v>21</x:v>
      </x:c>
      <x:c r="B24">
        <x:f>MOD($A24*CONST!$C$2+CONST!$B$2,CONST!$D$2)</x:f>
        <x:v>156</x:v>
      </x:c>
      <x:c r="C24">
        <x:f>IF(MOD(IFERROR(CODE(MID(INPUT!$B$2,$A24,1)),0)+$B24,CONST!$E$2)=INDEX(CONST!$B$5:$BI$5,1,$A24),0,1)</x:f>
        <x:v>1</x:v>
      </x:c>
    </x:row>
    <x:row r="25">
      <x:c r="A25" t="n">
        <x:v>22</x:v>
      </x:c>
      <x:c r="B25">
        <x:f>MOD($A25*CONST!$C$2+CONST!$B$2,CONST!$D$2)</x:f>
        <x:v>187</x:v>
      </x:c>
      <x:c r="C25">
        <x:f>IF(MOD(IFERROR(CODE(MID(INPUT!$B$2,$A25,1)),0)+$B25,CONST!$E$2)=INDEX(CONST!$B$5:$BI$5,1,$A25),0,1)</x:f>
        <x:v>1</x:v>
      </x:c>
    </x:row>
    <x:row r="26">
      <x:c r="A26" t="n">
        <x:v>23</x:v>
      </x:c>
      <x:c r="B26">
        <x:f>MOD($A26*CONST!$C$2+CONST!$B$2,CONST!$D$2)</x:f>
        <x:v>218</x:v>
      </x:c>
      <x:c r="C26">
        <x:f>IF(MOD(IFERROR(CODE(MID(INPUT!$B$2,$A26,1)),0)+$B26,CONST!$E$2)=INDEX(CONST!$B$5:$BI$5,1,$A26),0,1)</x:f>
        <x:v>1</x:v>
      </x:c>
    </x:row>
    <x:row r="27">
      <x:c r="A27" t="n">
        <x:v>24</x:v>
      </x:c>
      <x:c r="B27">
        <x:f>MOD($A27*CONST!$C$2+CONST!$B$2,CONST!$D$2)</x:f>
        <x:v>249</x:v>
      </x:c>
      <x:c r="C27">
        <x:f>IF(MOD(IFERROR(CODE(MID(INPUT!$B$2,$A27,1)),0)+$B27,CONST!$E$2)=INDEX(CONST!$B$5:$BI$5,1,$A27),0,1)</x:f>
        <x:v>1</x:v>
      </x:c>
    </x:row>
    <x:row r="28">
      <x:c r="A28" t="n">
        <x:v>25</x:v>
      </x:c>
      <x:c r="B28">
        <x:f>MOD($A28*CONST!$C$2+CONST!$B$2,CONST!$D$2)</x:f>
        <x:v>29</x:v>
      </x:c>
      <x:c r="C28">
        <x:f>IF(MOD(IFERROR(CODE(MID(INPUT!$B$2,$A28,1)),0)+$B28,CONST!$E$2)=INDEX(CONST!$B$5:$BI$5,1,$A28),0,1)</x:f>
        <x:v>1</x:v>
      </x:c>
    </x:row>
    <x:row r="29">
      <x:c r="A29" t="n">
        <x:v>26</x:v>
      </x:c>
      <x:c r="B29">
        <x:f>MOD($A29*CONST!$C$2+CONST!$B$2,CONST!$D$2)</x:f>
        <x:v>60</x:v>
      </x:c>
      <x:c r="C29">
        <x:f>IF(MOD(IFERROR(CODE(MID(INPUT!$B$2,$A29,1)),0)+$B29,CONST!$E$2)=INDEX(CONST!$B$5:$BI$5,1,$A29),0,1)</x:f>
        <x:v>1</x:v>
      </x:c>
    </x:row>
    <x:row r="30">
      <x:c r="A30" t="n">
        <x:v>27</x:v>
      </x:c>
      <x:c r="B30">
        <x:f>MOD($A30*CONST!$C$2+CONST!$B$2,CONST!$D$2)</x:f>
        <x:v>91</x:v>
      </x:c>
      <x:c r="C30">
        <x:f>IF(MOD(IFERROR(CODE(MID(INPUT!$B$2,$A30,1)),0)+$B30,CONST!$E$2)=INDEX(CONST!$B$5:$BI$5,1,$A30),0,1)</x:f>
        <x:v>1</x:v>
      </x:c>
    </x:row>
    <x:row r="31">
      <x:c r="A31" t="n">
        <x:v>28</x:v>
      </x:c>
      <x:c r="B31">
        <x:f>MOD($A31*CONST!$C$2+CONST!$B$2,CONST!$D$2)</x:f>
        <x:v>122</x:v>
      </x:c>
      <x:c r="C31">
        <x:f>IF(MOD(IFERROR(CODE(MID(INPUT!$B$2,$A31,1)),0)+$B31,CONST!$E$2)=INDEX(CONST!$B$5:$BI$5,1,$A31),0,1)</x:f>
        <x:v>1</x:v>
      </x:c>
    </x:row>
    <x:row r="32">
      <x:c r="A32" t="n">
        <x:v>29</x:v>
      </x:c>
      <x:c r="B32">
        <x:f>MOD($A32*CONST!$C$2+CONST!$B$2,CONST!$D$2)</x:f>
        <x:v>153</x:v>
      </x:c>
      <x:c r="C32">
        <x:f>IF(MOD(IFERROR(CODE(MID(INPUT!$B$2,$A32,1)),0)+$B32,CONST!$E$2)=INDEX(CONST!$B$5:$BI$5,1,$A32),0,1)</x:f>
        <x:v>1</x:v>
      </x:c>
    </x:row>
    <x:row r="33">
      <x:c r="A33" t="n">
        <x:v>30</x:v>
      </x:c>
      <x:c r="B33">
        <x:f>MOD($A33*CONST!$C$2+CONST!$B$2,CONST!$D$2)</x:f>
        <x:v>184</x:v>
      </x:c>
      <x:c r="C33">
        <x:f>IF(MOD(IFERROR(CODE(MID(INPUT!$B$2,$A33,1)),0)+$B33,CONST!$E$2)=INDEX(CONST!$B$5:$BI$5,1,$A33),0,1)</x:f>
        <x:v>1</x:v>
      </x:c>
    </x:row>
    <x:row r="34">
      <x:c r="A34" t="n">
        <x:v>31</x:v>
      </x:c>
      <x:c r="B34">
        <x:f>MOD($A34*CONST!$C$2+CONST!$B$2,CONST!$D$2)</x:f>
        <x:v>215</x:v>
      </x:c>
      <x:c r="C34">
        <x:f>IF(MOD(IFERROR(CODE(MID(INPUT!$B$2,$A34,1)),0)+$B34,CONST!$E$2)=INDEX(CONST!$B$5:$BI$5,1,$A34),0,1)</x:f>
        <x:v>1</x:v>
      </x:c>
    </x:row>
    <x:row r="35">
      <x:c r="A35" t="n">
        <x:v>32</x:v>
      </x:c>
      <x:c r="B35">
        <x:f>MOD($A35*CONST!$C$2+CONST!$B$2,CONST!$D$2)</x:f>
        <x:v>246</x:v>
      </x:c>
      <x:c r="C35">
        <x:f>IF(MOD(IFERROR(CODE(MID(INPUT!$B$2,$A35,1)),0)+$B35,CONST!$E$2)=INDEX(CONST!$B$5:$BI$5,1,$A35),0,1)</x:f>
        <x:v>1</x:v>
      </x:c>
    </x:row>
    <x:row r="36">
      <x:c r="A36" t="n">
        <x:v>33</x:v>
      </x:c>
      <x:c r="B36">
        <x:f>MOD($A36*CONST!$C$2+CONST!$B$2,CONST!$D$2)</x:f>
        <x:v>26</x:v>
      </x:c>
      <x:c r="C36">
        <x:f>IF(MOD(IFERROR(CODE(MID(INPUT!$B$2,$A36,1)),0)+$B36,CONST!$E$2)=INDEX(CONST!$B$5:$BI$5,1,$A36),0,1)</x:f>
        <x:v>1</x:v>
      </x:c>
    </x:row>
    <x:row r="37">
      <x:c r="A37" t="n">
        <x:v>34</x:v>
      </x:c>
      <x:c r="B37">
        <x:f>MOD($A37*CONST!$C$2+CONST!$B$2,CONST!$D$2)</x:f>
        <x:v>57</x:v>
      </x:c>
      <x:c r="C37">
        <x:f>IF(MOD(IFERROR(CODE(MID(INPUT!$B$2,$A37,1)),0)+$B37,CONST!$E$2)=INDEX(CONST!$B$5:$BI$5,1,$A37),0,1)</x:f>
        <x:v>1</x:v>
      </x:c>
    </x:row>
    <x:row r="38">
      <x:c r="A38" t="n">
        <x:v>35</x:v>
      </x:c>
      <x:c r="B38">
        <x:f>MOD($A38*CONST!$C$2+CONST!$B$2,CONST!$D$2)</x:f>
        <x:v>88</x:v>
      </x:c>
      <x:c r="C38">
        <x:f>IF(MOD(IFERROR(CODE(MID(INPUT!$B$2,$A38,1)),0)+$B38,CONST!$E$2)=INDEX(CONST!$B$5:$BI$5,1,$A38),0,1)</x:f>
        <x:v>1</x:v>
      </x:c>
    </x:row>
    <x:row r="39">
      <x:c r="A39" t="n">
        <x:v>36</x:v>
      </x:c>
      <x:c r="B39">
        <x:f>MOD($A39*CONST!$C$2+CONST!$B$2,CONST!$D$2)</x:f>
        <x:v>119</x:v>
      </x:c>
      <x:c r="C39">
        <x:f>IF(MOD(IFERROR(CODE(MID(INPUT!$B$2,$A39,1)),0)+$B39,CONST!$E$2)=INDEX(CONST!$B$5:$BI$5,1,$A39),0,1)</x:f>
        <x:v>1</x:v>
      </x:c>
    </x:row>
    <x:row r="40">
      <x:c r="A40" t="n">
        <x:v>37</x:v>
      </x:c>
      <x:c r="B40">
        <x:f>MOD($A40*CONST!$C$2+CONST!$B$2,CONST!$D$2)</x:f>
        <x:v>150</x:v>
      </x:c>
      <x:c r="C40">
        <x:f>IF(MOD(IFERROR(CODE(MID(INPUT!$B$2,$A40,1)),0)+$B40,CONST!$E$2)=INDEX(CONST!$B$5:$BI$5,1,$A40),0,1)</x:f>
        <x:v>1</x:v>
      </x:c>
    </x:row>
    <x:row r="41">
      <x:c r="A41" t="n">
        <x:v>38</x:v>
      </x:c>
      <x:c r="B41">
        <x:f>MOD($A41*CONST!$C$2+CONST!$B$2,CONST!$D$2)</x:f>
        <x:v>181</x:v>
      </x:c>
      <x:c r="C41">
        <x:f>IF(MOD(IFERROR(CODE(MID(INPUT!$B$2,$A41,1)),0)+$B41,CONST!$E$2)=INDEX(CONST!$B$5:$BI$5,1,$A41),0,1)</x:f>
        <x:v>1</x:v>
      </x:c>
    </x:row>
    <x:row r="42">
      <x:c r="A42" t="n">
        <x:v>39</x:v>
      </x:c>
      <x:c r="B42">
        <x:f>MOD($A42*CONST!$C$2+CONST!$B$2,CONST!$D$2)</x:f>
        <x:v>212</x:v>
      </x:c>
      <x:c r="C42">
        <x:f>IF(MOD(IFERROR(CODE(MID(INPUT!$B$2,$A42,1)),0)+$B42,CONST!$E$2)=INDEX(CONST!$B$5:$BI$5,1,$A42),0,1)</x:f>
        <x:v>1</x:v>
      </x:c>
    </x:row>
    <x:row r="43">
      <x:c r="A43" t="n">
        <x:v>40</x:v>
      </x:c>
      <x:c r="B43">
        <x:f>MOD($A43*CONST!$C$2+CONST!$B$2,CONST!$D$2)</x:f>
        <x:v>243</x:v>
      </x:c>
      <x:c r="C43">
        <x:f>IF(MOD(IFERROR(CODE(MID(INPUT!$B$2,$A43,1)),0)+$B43,CONST!$E$2)=INDEX(CONST!$B$5:$BI$5,1,$A43),0,1)</x:f>
        <x:v>1</x:v>
      </x:c>
    </x:row>
    <x:row r="44">
      <x:c r="A44" t="n">
        <x:v>41</x:v>
      </x:c>
      <x:c r="B44">
        <x:f>MOD($A44*CONST!$C$2+CONST!$B$2,CONST!$D$2)</x:f>
        <x:v>23</x:v>
      </x:c>
      <x:c r="C44">
        <x:f>IF(MOD(IFERROR(CODE(MID(INPUT!$B$2,$A44,1)),0)+$B44,CONST!$E$2)=INDEX(CONST!$B$5:$BI$5,1,$A44),0,1)</x:f>
        <x:v>1</x:v>
      </x:c>
    </x:row>
    <x:row r="45">
      <x:c r="A45" t="n">
        <x:v>42</x:v>
      </x:c>
      <x:c r="B45">
        <x:f>MOD($A45*CONST!$C$2+CONST!$B$2,CONST!$D$2)</x:f>
        <x:v>54</x:v>
      </x:c>
      <x:c r="C45">
        <x:f>IF(MOD(IFERROR(CODE(MID(INPUT!$B$2,$A45,1)),0)+$B45,CONST!$E$2)=INDEX(CONST!$B$5:$BI$5,1,$A45),0,1)</x:f>
        <x:v>1</x:v>
      </x:c>
    </x:row>
    <x:row r="46">
      <x:c r="A46" t="n">
        <x:v>43</x:v>
      </x:c>
      <x:c r="B46">
        <x:f>MOD($A46*CONST!$C$2+CONST!$B$2,CONST!$D$2)</x:f>
        <x:v>85</x:v>
      </x:c>
      <x:c r="C46">
        <x:f>IF(MOD(IFERROR(CODE(MID(INPUT!$B$2,$A46,1)),0)+$B46,CONST!$E$2)=INDEX(CONST!$B$5:$BI$5,1,$A46),0,1)</x:f>
        <x:v>1</x:v>
      </x:c>
    </x:row>
    <x:row r="47">
      <x:c r="A47" t="n">
        <x:v>44</x:v>
      </x:c>
      <x:c r="B47">
        <x:f>MOD($A47*CONST!$C$2+CONST!$B$2,CONST!$D$2)</x:f>
        <x:v>116</x:v>
      </x:c>
      <x:c r="C47">
        <x:f>IF(MOD(IFERROR(CODE(MID(INPUT!$B$2,$A47,1)),0)+$B47,CONST!$E$2)=INDEX(CONST!$B$5:$BI$5,1,$A47),0,1)</x:f>
        <x:v>1</x:v>
      </x:c>
    </x:row>
    <x:row r="48">
      <x:c r="A48" t="n">
        <x:v>45</x:v>
      </x:c>
      <x:c r="B48">
        <x:f>MOD($A48*CONST!$C$2+CONST!$B$2,CONST!$D$2)</x:f>
        <x:v>147</x:v>
      </x:c>
      <x:c r="C48">
        <x:f>IF(MOD(IFERROR(CODE(MID(INPUT!$B$2,$A48,1)),0)+$B48,CONST!$E$2)=INDEX(CONST!$B$5:$BI$5,1,$A48),0,1)</x:f>
        <x:v>1</x:v>
      </x:c>
    </x:row>
    <x:row r="49">
      <x:c r="A49" t="n">
        <x:v>46</x:v>
      </x:c>
      <x:c r="B49">
        <x:f>MOD($A49*CONST!$C$2+CONST!$B$2,CONST!$D$2)</x:f>
        <x:v>178</x:v>
      </x:c>
      <x:c r="C49">
        <x:f>IF(MOD(IFERROR(CODE(MID(INPUT!$B$2,$A49,1)),0)+$B49,CONST!$E$2)=INDEX(CONST!$B$5:$BI$5,1,$A49),0,1)</x:f>
        <x:v>1</x:v>
      </x:c>
    </x:row>
    <x:row r="50">
      <x:c r="A50" t="n">
        <x:v>47</x:v>
      </x:c>
      <x:c r="B50">
        <x:f>MOD($A50*CONST!$C$2+CONST!$B$2,CONST!$D$2)</x:f>
        <x:v>209</x:v>
      </x:c>
      <x:c r="C50">
        <x:f>IF(MOD(IFERROR(CODE(MID(INPUT!$B$2,$A50,1)),0)+$B50,CONST!$E$2)=INDEX(CONST!$B$5:$BI$5,1,$A50),0,1)</x:f>
        <x:v>1</x:v>
      </x:c>
    </x:row>
    <x:row r="51">
      <x:c r="A51" t="n">
        <x:v>48</x:v>
      </x:c>
      <x:c r="B51">
        <x:f>MOD($A51*CONST!$C$2+CONST!$B$2,CONST!$D$2)</x:f>
      </x:c>
      <x:c r="C51">
        <x:f>IF(MOD(IFERROR(CODE(MID(INPUT!$B$2,$A51,1)),0)+$B51,CONST!$E$2)=INDEX(CONST!$B$5:$BI$5,1,$A51),0,1)</x:f>
      </x:c>
    </x:row>
    <x:row r="52">
      <x:c r="A52" t="n">
        <x:v>49</x:v>
      </x:c>
      <x:c r="B52">
        <x:f>MOD($A52*CONST!$C$2+CONST!$B$2,CONST!$D$2)</x:f>
      </x:c>
      <x:c r="C52">
        <x:f>IF(MOD(IFERROR(CODE(MID(INPUT!$B$2,$A52,1)),0)+$B52,CONST!$E$2)=INDEX(CONST!$B$5:$BI$5,1,$A52),0,1)</x:f>
      </x:c>
    </x:row>
    <x:row r="53">
      <x:c r="A53" t="n">
        <x:v>50</x:v>
      </x:c>
      <x:c r="B53">
        <x:f>MOD($A53*CONST!$C$2+CONST!$B$2,CONST!$D$2)</x:f>
      </x:c>
      <x:c r="C53">
        <x:f>IF(MOD(IFERROR(CODE(MID(INPUT!$B$2,$A53,1)),0)+$B53,CONST!$E$2)=INDEX(CONST!$B$5:$BI$5,1,$A53),0,1)</x:f>
      </x:c>
    </x:row>
    <x:row r="54">
      <x:c r="A54" t="n">
        <x:v>51</x:v>
      </x:c>
      <x:c r="B54">
        <x:f>MOD($A54*CONST!$C$2+CONST!$B$2,CONST!$D$2)</x:f>
      </x:c>
      <x:c r="C54">
        <x:f>IF(MOD(IFERROR(CODE(MID(INPUT!$B$2,$A54,1)),0)+$B54,CONST!$E$2)=INDEX(CONST!$B$5:$BI$5,1,$A54),0,1)</x:f>
      </x:c>
    </x:row>
    <x:row r="55">
      <x:c r="A55" t="n">
        <x:v>52</x:v>
      </x:c>
      <x:c r="B55">
        <x:f>MOD($A55*CONST!$C$2+CONST!$B$2,CONST!$D$2)</x:f>
      </x:c>
      <x:c r="C55">
        <x:f>IF(MOD(IFERROR(CODE(MID(INPUT!$B$2,$A55,1)),0)+$B55,CONST!$E$2)=INDEX(CONST!$B$5:$BI$5,1,$A55),0,1)</x:f>
      </x:c>
    </x:row>
    <x:row r="56">
      <x:c r="A56" t="n">
        <x:v>53</x:v>
      </x:c>
      <x:c r="B56">
        <x:f>MOD($A56*CONST!$C$2+CONST!$B$2,CONST!$D$2)</x:f>
      </x:c>
      <x:c r="C56">
        <x:f>IF(MOD(IFERROR(CODE(MID(INPUT!$B$2,$A56,1)),0)+$B56,CONST!$E$2)=INDEX(CONST!$B$5:$BI$5,1,$A56),0,1)</x:f>
      </x:c>
    </x:row>
    <x:row r="57">
      <x:c r="A57" t="n">
        <x:v>54</x:v>
      </x:c>
      <x:c r="B57">
        <x:f>MOD($A57*CONST!$C$2+CONST!$B$2,CONST!$D$2)</x:f>
      </x:c>
      <x:c r="C57">
        <x:f>IF(MOD(IFERROR(CODE(MID(INPUT!$B$2,$A57,1)),0)+$B57,CONST!$E$2)=INDEX(CONST!$B$5:$BI$5,1,$A57),0,1)</x:f>
      </x:c>
    </x:row>
    <x:row r="58">
      <x:c r="A58" t="n">
        <x:v>55</x:v>
      </x:c>
      <x:c r="B58">
        <x:f>MOD($A58*CONST!$C$2+CONST!$B$2,CONST!$D$2)</x:f>
      </x:c>
      <x:c r="C58">
        <x:f>IF(MOD(IFERROR(CODE(MID(INPUT!$B$2,$A58,1)),0)+$B58,CONST!$E$2)=INDEX(CONST!$B$5:$BI$5,1,$A58),0,1)</x:f>
      </x:c>
    </x:row>
    <x:row r="59">
      <x:c r="A59" t="n">
        <x:v>56</x:v>
      </x:c>
      <x:c r="B59">
        <x:f>MOD($A59*CONST!$C$2+CONST!$B$2,CONST!$D$2)</x:f>
      </x:c>
      <x:c r="C59">
        <x:f>IF(MOD(IFERROR(CODE(MID(INPUT!$B$2,$A59,1)),0)+$B59,CONST!$E$2)=INDEX(CONST!$B$5:$BI$5,1,$A59),0,1)</x:f>
      </x:c>
    </x:row>
    <x:row r="60">
      <x:c r="A60" t="n">
        <x:v>57</x:v>
      </x:c>
      <x:c r="B60">
        <x:f>MOD($A60*CONST!$C$2+CONST!$B$2,CONST!$D$2)</x:f>
      </x:c>
      <x:c r="C60">
        <x:f>IF(MOD(IFERROR(CODE(MID(INPUT!$B$2,$A60,1)),0)+$B60,CONST!$E$2)=INDEX(CONST!$B$5:$BI$5,1,$A60),0,1)</x:f>
      </x:c>
    </x:row>
    <x:row r="61">
      <x:c r="A61" t="n">
        <x:v>58</x:v>
      </x:c>
      <x:c r="B61">
        <x:f>MOD($A61*CONST!$C$2+CONST!$B$2,CONST!$D$2)</x:f>
      </x:c>
      <x:c r="C61">
        <x:f>IF(MOD(IFERROR(CODE(MID(INPUT!$B$2,$A61,1)),0)+$B61,CONST!$E$2)=INDEX(CONST!$B$5:$BI$5,1,$A61),0,1)</x:f>
      </x:c>
    </x:row>
    <x:row r="62">
      <x:c r="A62" t="n">
        <x:v>59</x:v>
      </x:c>
      <x:c r="B62">
        <x:f>MOD($A62*CONST!$C$2+CONST!$B$2,CONST!$D$2)</x:f>
      </x:c>
      <x:c r="C62">
        <x:f>IF(MOD(IFERROR(CODE(MID(INPUT!$B$2,$A62,1)),0)+$B62,CONST!$E$2)=INDEX(CONST!$B$5:$BI$5,1,$A62),0,1)</x:f>
      </x:c>
    </x:row>
    <x:row r="63">
      <x:c r="A63" t="n">
        <x:v>60</x:v>
      </x:c>
      <x:c r="B63">
        <x:f>MOD($A63*CONST!$C$2+CONST!$B$2,CONST!$D$2)</x:f>
      </x:c>
      <x:c r="C63">
        <x:f>IF(MOD(IFERROR(CODE(MID(INPUT!$B$2,$A63,1)),0)+$B63,CONST!$E$2)=INDEX(CONST!$B$5:$BI$5,1,$A63),0,1)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inlineStr">
        <x:is>
          <x:t xml:space="preserve">LEN</x:t>
        </x:is>
      </x:c>
      <x:c r="B1" t="n">
        <x:v>60</x:v>
      </x:c>
    </x:row>
    <x:row r="2">
      <x:c r="A2" t="inlineStr">
        <x:is>
          <x:t xml:space="preserve">K</x:t>
        </x:is>
      </x:c>
      <x:c r="B2" t="n">
        <x:v>7</x:v>
      </x:c>
      <x:c r="C2" t="n">
        <x:v>31</x:v>
      </x:c>
      <x:c r="D2" t="n">
        <x:v>251</x:v>
      </x:c>
      <x:c r="E2" t="n">
        <x:v>256</x:v>
      </x:c>
    </x:row>
    <x:row r="5">
      <x:c r="B5" t="n">
        <x:v>106</x:v>
      </x:c>
      <x:c r="C5" t="n">
        <x:v>141</x:v>
      </x:c>
      <x:c r="D5" t="n">
        <x:v>223</x:v>
      </x:c>
      <x:c r="E5" t="n">
        <x:v>220</x:v>
      </x:c>
      <x:c r="F5" t="n">
        <x:v>17</x:v>
      </x:c>
      <x:c r="G5" t="n">
        <x:v>54</x:v>
      </x:c>
      <x:c r="H5" t="n">
        <x:v>63</x:v>
      </x:c>
      <x:c r="I5" t="n">
        <x:v>123</x:v>
      </x:c>
      <x:c r="J5" t="n">
        <x:v>132</x:v>
      </x:c>
      <x:c r="K5" t="n">
        <x:v>176</x:v>
      </x:c>
      <x:c r="L5" t="n">
        <x:v>213</x:v>
      </x:c>
      <x:c r="M5" t="n">
        <x:v>223</x:v>
      </x:c>
      <x:c r="N5" t="n">
        <x:v>12</x:v>
      </x:c>
      <x:c r="O5" t="n">
        <x:v>35</x:v>
      </x:c>
      <x:c r="P5" t="n">
        <x:v>60</x:v>
      </x:c>
      <x:c r="Q5" t="n">
        <x:v>117</x:v>
      </x:c>
      <x:c r="R5" t="n">
        <x:v>143</x:v>
      </x:c>
      <x:c r="S5" t="n">
        <x:v>158</x:v>
      </x:c>
      <x:c r="T5" t="n">
        <x:v>209</x:v>
      </x:c>
      <x:c r="U5" t="n">
        <x:v>242</x:v>
      </x:c>
      <x:c r="V5" t="n">
        <x:v>254</x:v>
      </x:c>
      <x:c r="W5" t="n">
        <x:v>40</x:v>
      </x:c>
      <x:c r="X5" t="n">
        <x:v>67</x:v>
      </x:c>
      <x:c r="Y5" t="n">
        <x:v>109</x:v>
      </x:c>
      <x:c r="Z5" t="n">
        <x:v>124</x:v>
      </x:c>
      <x:c r="AA5" t="n">
        <x:v>176</x:v>
      </x:c>
      <x:c r="AB5" t="n">
        <x:v>195</x:v>
      </x:c>
      <x:c r="AC5" t="n">
        <x:v>223</x:v>
      </x:c>
      <x:c r="AD5" t="n">
        <x:v>248</x:v>
      </x:c>
      <x:c r="AE5" t="n">
        <x:v>25</x:v>
      </x:c>
      <x:c r="AF5" t="n">
        <x:v>74</x:v>
      </x:c>
      <x:c r="AG5" t="n">
        <x:v>105</x:v>
      </x:c>
      <x:c r="AH5" t="n">
        <x:v>131</x:v>
      </x:c>
      <x:c r="AI5" t="n">
        <x:v>160</x:v>
      </x:c>
      <x:c r="AJ5" t="n">
        <x:v>198</x:v>
      </x:c>
      <x:c r="AK5" t="n">
        <x:v>228</x:v>
      </x:c>
      <x:c r="AL5" t="n">
        <x:v>251</x:v>
      </x:c>
      <x:c r="AM5" t="n">
        <x:v>35</x:v>
      </x:c>
      <x:c r="AN5" t="n">
        <x:v>72</x:v>
      </x:c>
      <x:c r="AO5" t="n">
        <x:v>82</x:v>
      </x:c>
      <x:c r="AP5" t="n">
        <x:v>128</x:v>
      </x:c>
      <x:c r="AQ5" t="n">
        <x:v>164</x:v>
      </x:c>
      <x:c r="AR5" t="n">
        <x:v>180</x:v>
      </x:c>
      <x:c r="AS5" t="n">
        <x:v>185</x:v>
      </x:c>
      <x:c r="AT5" t="n">
        <x:v>11</x:v>
      </x:c>
      <x:c r="AU5" t="n">
        <x:v>21</x:v>
      </x:c>
      <x:c r="AV5" t="n">
        <x:v>54</x:v>
      </x:c>
      <x:c r="AW5" t="n">
        <x:v>92</x:v>
      </x:c>
      <x:c r="AX5" t="n">
        <x:v>115</x:v>
      </x:c>
      <x:c r="AY5" t="n">
        <x:v>131</x:v>
      </x:c>
      <x:c r="AZ5" t="n">
        <x:v>196</x:v>
      </x:c>
      <x:c r="BA5" t="n">
        <x:v>224</x:v>
      </x:c>
      <x:c r="BB5" t="n">
        <x:v>246</x:v>
      </x:c>
      <x:c r="BC5" t="n">
        <x:v>20</x:v>
      </x:c>
      <x:c r="BD5" t="n">
        <x:v>65</x:v>
      </x:c>
      <x:c r="BE5" t="n">
        <x:v>96</x:v>
      </x:c>
      <x:c r="BF5" t="n">
        <x:v>128</x:v>
      </x:c>
      <x:c r="BG5" t="n">
        <x:v>162</x:v>
      </x:c>
      <x:c r="BH5" t="n">
        <x:v>142</x:v>
      </x:c>
      <x:c r="BI5" t="n">
        <x:v>235</x:v>
      </x:c>
    </x:row>
    <x:row r="20">
      <x:c r="A20" t="inlineStr">
        <x:is>
          <x:t xml:space="preserve">FLAG_CODES</x:t>
        </x:is>
      </x:c>
      <x:c r="B20" t="n">
        <x:v>81</x:v>
      </x:c>
      <x:c r="C20" t="n">
        <x:v>93</x:v>
      </x:c>
      <x:c r="D20" t="n">
        <x:v>110</x:v>
      </x:c>
      <x:c r="E20" t="n">
        <x:v>80</x:v>
      </x:c>
      <x:c r="F20" t="n">
        <x:v>77</x:v>
      </x:c>
      <x:c r="G20" t="n">
        <x:v>86</x:v>
      </x:c>
      <x:c r="H20" t="n">
        <x:v>80</x:v>
      </x:c>
      <x:c r="I20" t="n">
        <x:v>89</x:v>
      </x:c>
      <x:c r="J20" t="n">
        <x:v>74</x:v>
      </x:c>
      <x:c r="K20" t="n">
        <x:v>92</x:v>
      </x:c>
      <x:c r="L20" t="n">
        <x:v>70</x:v>
      </x:c>
      <x:c r="M20" t="n">
        <x:v>74</x:v>
      </x:c>
      <x:c r="N20" t="n">
        <x:v>84</x:v>
      </x:c>
      <x:c r="O20" t="n">
        <x:v>74</x:v>
      </x:c>
      <x:c r="P20" t="n">
        <x:v>83</x:v>
      </x:c>
      <x:c r="Q20" t="n">
        <x:v>70</x:v>
      </x:c>
      <x:c r="R20" t="n">
        <x:v>88</x:v>
      </x:c>
      <x:c r="S20" t="n">
        <x:v>104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/>
  <x:pageMargins left="0.7" right="0.7" top="0.75" bottom="0.75" header="0.3" footer="0.3"/>
</x:worksheet>
</file>